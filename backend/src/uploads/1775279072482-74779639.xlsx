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nup\Downloads\"/>
    </mc:Choice>
  </mc:AlternateContent>
  <bookViews>
    <workbookView xWindow="0" yWindow="0" windowWidth="28800" windowHeight="12315" activeTab="1"/>
  </bookViews>
  <sheets>
    <sheet name="Costing" sheetId="1" r:id="rId1"/>
    <sheet name="Recce 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F18" i="1"/>
  <c r="G18" i="1"/>
  <c r="H18" i="1"/>
  <c r="F5" i="1"/>
</calcChain>
</file>

<file path=xl/sharedStrings.xml><?xml version="1.0" encoding="utf-8"?>
<sst xmlns="http://schemas.openxmlformats.org/spreadsheetml/2006/main" count="126" uniqueCount="73">
  <si>
    <t>S.No</t>
  </si>
  <si>
    <t>Advertising Type / Media</t>
  </si>
  <si>
    <t>Unit / Site</t>
  </si>
  <si>
    <t>Quantity</t>
  </si>
  <si>
    <t>Rate per Unit (INR)</t>
  </si>
  <si>
    <t>Subtotal (INR)</t>
  </si>
  <si>
    <t>Remarks</t>
  </si>
  <si>
    <t>Billboard Advertising</t>
  </si>
  <si>
    <t>Per Month / Per Site</t>
  </si>
  <si>
    <t>___</t>
  </si>
  <si>
    <t>Transit Advertising</t>
  </si>
  <si>
    <t>Per Vehicle / Per Month</t>
  </si>
  <si>
    <t>Retail Branding</t>
  </si>
  <si>
    <t>Per Store / Per Month</t>
  </si>
  <si>
    <t>Digital OOH (LED/Screen)</t>
  </si>
  <si>
    <t>Per Screen / Per Month</t>
  </si>
  <si>
    <t>Mall &amp; Multiplex Advertising</t>
  </si>
  <si>
    <t>Per Location / Per Month</t>
  </si>
  <si>
    <t>Event / Road Show</t>
  </si>
  <si>
    <t>Per Event</t>
  </si>
  <si>
    <t>Other Advertising</t>
  </si>
  <si>
    <t>Specify</t>
  </si>
  <si>
    <t>Total Cost</t>
  </si>
  <si>
    <t>___ INR</t>
  </si>
  <si>
    <t>4. Additional Charges (Optional)</t>
  </si>
  <si>
    <t>Description</t>
  </si>
  <si>
    <t>Rate (INR)</t>
  </si>
  <si>
    <t>Printing / Fabrication</t>
  </si>
  <si>
    <t>Installation / Mounting</t>
  </si>
  <si>
    <t>Maintenance / Monitoring</t>
  </si>
  <si>
    <t>Vendor / Agency Fees</t>
  </si>
  <si>
    <t>Taxes (GST %)</t>
  </si>
  <si>
    <t>5. Terms &amp; Conditions</t>
  </si>
  <si>
    <t>1. Quotation is valid until the date mentioned above.</t>
  </si>
  <si>
    <t>2. 50% advance payment required to confirm booking; remaining 50% before campaign go-live.</t>
  </si>
  <si>
    <t>3. Campaign execution depends on availability of sites.</t>
  </si>
  <si>
    <t>4. Creative material to be provided by client in required format (AI, PSD, PDF, MP4, etc.).</t>
  </si>
  <si>
    <t>5. Any municipal / legal permissions are client’s responsibility unless otherwise agreed.</t>
  </si>
  <si>
    <t>6. Any additional services not listed will be charged separately.</t>
  </si>
  <si>
    <t>7. All prices are exclusive of applicable taxes unless specified.</t>
  </si>
  <si>
    <t xml:space="preserve"> Rate &amp; Cost Details</t>
  </si>
  <si>
    <t>S.N.</t>
  </si>
  <si>
    <t>Dealer Name</t>
  </si>
  <si>
    <t>Shop Name</t>
  </si>
  <si>
    <t>Contact No.</t>
  </si>
  <si>
    <t>Address</t>
  </si>
  <si>
    <t>GST</t>
  </si>
  <si>
    <t>Branding Components</t>
  </si>
  <si>
    <t>OWV</t>
  </si>
  <si>
    <t>GSB</t>
  </si>
  <si>
    <t>NL</t>
  </si>
  <si>
    <t>Vinyl</t>
  </si>
  <si>
    <t>VSB</t>
  </si>
  <si>
    <t>Counter Details</t>
  </si>
  <si>
    <t>Can extend</t>
  </si>
  <si>
    <t>Grand Total (INR): ___________1593000</t>
  </si>
  <si>
    <t>Aman Goyal</t>
  </si>
  <si>
    <t>Aman Food Shop</t>
  </si>
  <si>
    <t>Bikaner Sweets</t>
  </si>
  <si>
    <t>Burger King</t>
  </si>
  <si>
    <t>Raja Dairy</t>
  </si>
  <si>
    <t>B.S. Mart</t>
  </si>
  <si>
    <t>Ram Singh</t>
  </si>
  <si>
    <t>Shyam Lal</t>
  </si>
  <si>
    <t>Rohan Lal</t>
  </si>
  <si>
    <t>Karan Gupta</t>
  </si>
  <si>
    <t>Laxmi Nagar</t>
  </si>
  <si>
    <t>Nirman Vihar</t>
  </si>
  <si>
    <t>Preet Vihar</t>
  </si>
  <si>
    <t>Yamuna Bank</t>
  </si>
  <si>
    <t>Madhu Vihar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</si>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</sst>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0" fillId="0" borderId="0" xfId="0" applyNumberFormat="1" applyFont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2</xdr:col>
          <xdr:colOff>466725</xdr:colOff>
          <xdr:row>140</xdr:row>
          <xdr:rowOff>161925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37"/>
  <sheetViews>
    <sheetView workbookViewId="0">
      <selection activeCell="A25" sqref="A25:F25"/>
    </sheetView>
  </sheetViews>
  <sheetFormatPr defaultColWidth="29.85546875" defaultRowHeight="15" x14ac:dyDescent="0.25"/>
  <cols>
    <col min="1" max="1" width="5.140625" bestFit="1" customWidth="1"/>
    <col min="2" max="2" width="26.85546875" bestFit="1" customWidth="1"/>
    <col min="3" max="3" width="23.28515625" bestFit="1" customWidth="1"/>
    <col min="4" max="4" width="8.7109375" bestFit="1" customWidth="1"/>
    <col min="5" max="5" width="17.85546875" bestFit="1" customWidth="1"/>
    <col min="6" max="6" width="13.5703125" bestFit="1" customWidth="1"/>
    <col min="7" max="7" width="13.28515625" customWidth="1"/>
  </cols>
  <sheetData>
    <row r="1" spans="1:7" x14ac:dyDescent="0.25">
      <c r="A1" s="12" t="s">
        <v>40</v>
      </c>
      <c r="B1" s="12"/>
      <c r="C1" s="12"/>
      <c r="D1" s="12"/>
      <c r="E1" s="12"/>
      <c r="F1" s="12"/>
      <c r="G1" s="12"/>
    </row>
    <row r="2" spans="1:7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x14ac:dyDescent="0.25">
      <c r="A3" s="7">
        <v>1</v>
      </c>
      <c r="B3" s="7" t="s">
        <v>7</v>
      </c>
      <c r="C3" s="7" t="s">
        <v>8</v>
      </c>
      <c r="D3" s="7" t="s">
        <v>9</v>
      </c>
      <c r="E3" s="7" t="s">
        <v>9</v>
      </c>
      <c r="F3" s="7" t="s">
        <v>9</v>
      </c>
      <c r="G3" s="7" t="s">
        <v>9</v>
      </c>
    </row>
    <row r="4" spans="1:7" x14ac:dyDescent="0.25">
      <c r="A4" s="7">
        <v>2</v>
      </c>
      <c r="B4" s="7" t="s">
        <v>10</v>
      </c>
      <c r="C4" s="7" t="s">
        <v>11</v>
      </c>
      <c r="D4" s="7" t="s">
        <v>9</v>
      </c>
      <c r="E4" s="7" t="s">
        <v>9</v>
      </c>
      <c r="F4" s="7" t="s">
        <v>9</v>
      </c>
      <c r="G4" s="7" t="s">
        <v>9</v>
      </c>
    </row>
    <row r="5" spans="1:7" ht="30" x14ac:dyDescent="0.25">
      <c r="A5" s="7">
        <v>3</v>
      </c>
      <c r="B5" s="7" t="s">
        <v>12</v>
      </c>
      <c r="C5" s="7" t="s">
        <v>13</v>
      </c>
      <c r="D5" s="7">
        <v>30000</v>
      </c>
      <c r="E5" s="7">
        <v>30</v>
      </c>
      <c r="F5" s="7">
        <f>E5*D5</f>
        <v>900000</v>
      </c>
      <c r="G5" s="7" t="s">
        <v>54</v>
      </c>
    </row>
    <row r="6" spans="1:7" x14ac:dyDescent="0.25">
      <c r="A6" s="7">
        <v>4</v>
      </c>
      <c r="B6" s="7" t="s">
        <v>14</v>
      </c>
      <c r="C6" s="7" t="s">
        <v>15</v>
      </c>
      <c r="D6" s="7" t="s">
        <v>9</v>
      </c>
      <c r="E6" s="7" t="s">
        <v>9</v>
      </c>
      <c r="F6" s="7" t="s">
        <v>9</v>
      </c>
      <c r="G6" s="7" t="s">
        <v>9</v>
      </c>
    </row>
    <row r="7" spans="1:7" x14ac:dyDescent="0.25">
      <c r="A7" s="7">
        <v>5</v>
      </c>
      <c r="B7" s="7" t="s">
        <v>16</v>
      </c>
      <c r="C7" s="7" t="s">
        <v>17</v>
      </c>
      <c r="D7" s="7" t="s">
        <v>9</v>
      </c>
      <c r="E7" s="7" t="s">
        <v>9</v>
      </c>
      <c r="F7" s="7" t="s">
        <v>9</v>
      </c>
      <c r="G7" s="7" t="s">
        <v>9</v>
      </c>
    </row>
    <row r="8" spans="1:7" x14ac:dyDescent="0.25">
      <c r="A8" s="7">
        <v>6</v>
      </c>
      <c r="B8" s="7" t="s">
        <v>18</v>
      </c>
      <c r="C8" s="7" t="s">
        <v>19</v>
      </c>
      <c r="D8" s="7" t="s">
        <v>9</v>
      </c>
      <c r="E8" s="7" t="s">
        <v>9</v>
      </c>
      <c r="F8" s="7" t="s">
        <v>9</v>
      </c>
      <c r="G8" s="7" t="s">
        <v>9</v>
      </c>
    </row>
    <row r="9" spans="1:7" x14ac:dyDescent="0.25">
      <c r="A9" s="7">
        <v>7</v>
      </c>
      <c r="B9" s="7" t="s">
        <v>20</v>
      </c>
      <c r="C9" s="7" t="s">
        <v>21</v>
      </c>
      <c r="D9" s="7" t="s">
        <v>9</v>
      </c>
      <c r="E9" s="7" t="s">
        <v>9</v>
      </c>
      <c r="F9" s="7" t="s">
        <v>9</v>
      </c>
      <c r="G9" s="7" t="s">
        <v>9</v>
      </c>
    </row>
    <row r="10" spans="1:7" x14ac:dyDescent="0.25">
      <c r="A10" s="13" t="s">
        <v>22</v>
      </c>
      <c r="B10" s="13"/>
      <c r="C10" s="13"/>
      <c r="D10" s="13"/>
      <c r="E10" s="13"/>
      <c r="F10" s="7" t="s">
        <v>23</v>
      </c>
      <c r="G10" s="7"/>
    </row>
    <row r="11" spans="1:7" x14ac:dyDescent="0.25">
      <c r="A11" s="12" t="s">
        <v>24</v>
      </c>
      <c r="B11" s="12"/>
      <c r="C11" s="12"/>
      <c r="D11" s="12"/>
      <c r="E11" s="12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5" t="s">
        <v>0</v>
      </c>
      <c r="B13" s="5" t="s">
        <v>25</v>
      </c>
      <c r="C13" s="5" t="s">
        <v>26</v>
      </c>
      <c r="D13" s="5" t="s">
        <v>6</v>
      </c>
      <c r="E13" s="1"/>
      <c r="F13" s="1"/>
      <c r="G13" s="1"/>
    </row>
    <row r="14" spans="1:7" x14ac:dyDescent="0.25">
      <c r="A14" s="2">
        <v>1</v>
      </c>
      <c r="B14" s="2" t="s">
        <v>27</v>
      </c>
      <c r="C14" s="2">
        <v>5</v>
      </c>
      <c r="D14" s="2" t="s">
        <v>9</v>
      </c>
      <c r="E14" s="1"/>
      <c r="F14" s="1"/>
      <c r="G14" s="1"/>
    </row>
    <row r="15" spans="1:7" x14ac:dyDescent="0.25">
      <c r="A15" s="2">
        <v>2</v>
      </c>
      <c r="B15" s="2" t="s">
        <v>28</v>
      </c>
      <c r="C15" s="2">
        <v>3</v>
      </c>
      <c r="D15" s="2" t="s">
        <v>9</v>
      </c>
      <c r="E15" s="1"/>
      <c r="F15" s="1"/>
      <c r="G15" s="1"/>
    </row>
    <row r="16" spans="1:7" x14ac:dyDescent="0.25">
      <c r="A16" s="2">
        <v>3</v>
      </c>
      <c r="B16" s="2" t="s">
        <v>29</v>
      </c>
      <c r="C16" s="2">
        <v>2</v>
      </c>
      <c r="D16" s="2" t="s">
        <v>9</v>
      </c>
      <c r="E16" s="1"/>
      <c r="F16" s="1"/>
      <c r="G16" s="1"/>
    </row>
    <row r="17" spans="1:8" x14ac:dyDescent="0.25">
      <c r="A17" s="2">
        <v>4</v>
      </c>
      <c r="B17" s="2" t="s">
        <v>30</v>
      </c>
      <c r="C17" s="2">
        <v>5</v>
      </c>
      <c r="D17" s="2" t="s">
        <v>9</v>
      </c>
      <c r="E17" s="1"/>
      <c r="F17" s="1"/>
      <c r="G17" s="1"/>
    </row>
    <row r="18" spans="1:8" x14ac:dyDescent="0.25">
      <c r="A18" s="2">
        <v>5</v>
      </c>
      <c r="B18" s="2" t="s">
        <v>31</v>
      </c>
      <c r="C18" s="15">
        <v>0.18</v>
      </c>
      <c r="D18" s="2" t="s">
        <v>9</v>
      </c>
      <c r="E18" s="1">
        <f>D5*15</f>
        <v>450000</v>
      </c>
      <c r="F18" s="1">
        <f>E18+F5</f>
        <v>1350000</v>
      </c>
      <c r="G18" s="1">
        <f>F18*18%</f>
        <v>243000</v>
      </c>
      <c r="H18">
        <f>G18+F18</f>
        <v>1593000</v>
      </c>
    </row>
    <row r="19" spans="1:8" x14ac:dyDescent="0.25">
      <c r="A19" s="1"/>
      <c r="B19" s="1"/>
      <c r="C19" s="1"/>
      <c r="D19" s="1"/>
      <c r="E19" s="1"/>
      <c r="F19" s="1"/>
      <c r="G19" s="1"/>
    </row>
    <row r="20" spans="1:8" x14ac:dyDescent="0.25">
      <c r="A20" s="10" t="s">
        <v>55</v>
      </c>
      <c r="B20" s="10"/>
      <c r="C20" s="10"/>
      <c r="D20" s="10"/>
      <c r="E20" s="10"/>
      <c r="F20" s="10"/>
      <c r="G20" s="10"/>
    </row>
    <row r="21" spans="1:8" x14ac:dyDescent="0.25">
      <c r="A21" s="11" t="s">
        <v>32</v>
      </c>
      <c r="B21" s="11"/>
      <c r="C21" s="11"/>
      <c r="D21" s="11"/>
      <c r="E21" s="11"/>
      <c r="F21" s="11"/>
      <c r="G21" s="11"/>
    </row>
    <row r="22" spans="1:8" x14ac:dyDescent="0.25">
      <c r="A22" s="3"/>
      <c r="B22" s="1"/>
      <c r="C22" s="1"/>
      <c r="D22" s="1"/>
      <c r="E22" s="1"/>
      <c r="F22" s="1"/>
      <c r="G22" s="1"/>
    </row>
    <row r="23" spans="1:8" x14ac:dyDescent="0.25">
      <c r="A23" s="9" t="s">
        <v>33</v>
      </c>
      <c r="B23" s="9"/>
      <c r="C23" s="9"/>
      <c r="D23" s="9"/>
      <c r="E23" s="9"/>
      <c r="F23" s="9"/>
      <c r="G23" s="1"/>
    </row>
    <row r="24" spans="1:8" x14ac:dyDescent="0.25">
      <c r="A24" s="9" t="s">
        <v>34</v>
      </c>
      <c r="B24" s="9"/>
      <c r="C24" s="9"/>
      <c r="D24" s="9"/>
      <c r="E24" s="9"/>
      <c r="F24" s="9"/>
      <c r="G24" s="1"/>
    </row>
    <row r="25" spans="1:8" x14ac:dyDescent="0.25">
      <c r="A25" s="9" t="s">
        <v>35</v>
      </c>
      <c r="B25" s="9"/>
      <c r="C25" s="9"/>
      <c r="D25" s="9"/>
      <c r="E25" s="9"/>
      <c r="F25" s="9"/>
      <c r="G25" s="1"/>
    </row>
    <row r="26" spans="1:8" x14ac:dyDescent="0.25">
      <c r="A26" s="9" t="s">
        <v>36</v>
      </c>
      <c r="B26" s="9"/>
      <c r="C26" s="9"/>
      <c r="D26" s="9"/>
      <c r="E26" s="9"/>
      <c r="F26" s="9"/>
      <c r="G26" s="1"/>
    </row>
    <row r="27" spans="1:8" x14ac:dyDescent="0.25">
      <c r="A27" s="9" t="s">
        <v>37</v>
      </c>
      <c r="B27" s="9"/>
      <c r="C27" s="9"/>
      <c r="D27" s="9"/>
      <c r="E27" s="9"/>
      <c r="F27" s="9"/>
      <c r="G27" s="1"/>
    </row>
    <row r="28" spans="1:8" x14ac:dyDescent="0.25">
      <c r="A28" s="9" t="s">
        <v>38</v>
      </c>
      <c r="B28" s="9"/>
      <c r="C28" s="9"/>
      <c r="D28" s="9"/>
      <c r="E28" s="9"/>
      <c r="F28" s="9"/>
      <c r="G28" s="1"/>
    </row>
    <row r="29" spans="1:8" x14ac:dyDescent="0.25">
      <c r="A29" s="9" t="s">
        <v>39</v>
      </c>
      <c r="B29" s="9"/>
      <c r="C29" s="9"/>
      <c r="D29" s="9"/>
      <c r="E29" s="9"/>
      <c r="F29" s="9"/>
      <c r="G29" s="1"/>
    </row>
    <row r="30" spans="1:8" x14ac:dyDescent="0.25">
      <c r="A30" s="1"/>
      <c r="B30" s="1"/>
      <c r="C30" s="1"/>
      <c r="D30" s="1"/>
      <c r="E30" s="1"/>
      <c r="F30" s="1"/>
      <c r="G30" s="1"/>
    </row>
    <row r="31" spans="1:8" x14ac:dyDescent="0.25">
      <c r="A31" s="1"/>
      <c r="B31" s="1"/>
      <c r="C31" s="1"/>
      <c r="D31" s="1"/>
      <c r="E31" s="1"/>
      <c r="F31" s="1"/>
      <c r="G31" s="1"/>
    </row>
    <row r="32" spans="1:8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4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5"/>
      <c r="B35" s="5"/>
      <c r="C35" s="1"/>
      <c r="D35" s="1"/>
      <c r="E35" s="1"/>
      <c r="F35" s="1"/>
      <c r="G35" s="1"/>
    </row>
    <row r="36" spans="1:7" x14ac:dyDescent="0.25">
      <c r="A36" s="2"/>
      <c r="B36" s="2"/>
      <c r="C36" s="1"/>
      <c r="D36" s="1"/>
      <c r="E36" s="1"/>
      <c r="F36" s="1"/>
      <c r="G36" s="1"/>
    </row>
    <row r="37" spans="1:7" x14ac:dyDescent="0.25">
      <c r="A37" s="2"/>
      <c r="B37" s="2"/>
      <c r="C37" s="1"/>
      <c r="D37" s="1"/>
      <c r="E37" s="1"/>
      <c r="F37" s="1"/>
      <c r="G37" s="1"/>
    </row>
    <row r="38" spans="1:7" x14ac:dyDescent="0.25">
      <c r="A38" s="2"/>
      <c r="B38" s="2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3"/>
      <c r="B42" s="1"/>
      <c r="C42" s="1"/>
      <c r="D42" s="1"/>
      <c r="E42" s="1"/>
      <c r="F42" s="1"/>
      <c r="G42" s="1"/>
    </row>
    <row r="43" spans="1:7" x14ac:dyDescent="0.25">
      <c r="A43" s="3"/>
      <c r="B43" s="1"/>
      <c r="C43" s="1"/>
      <c r="D43" s="1"/>
      <c r="E43" s="1"/>
      <c r="F43" s="1"/>
      <c r="G43" s="1"/>
    </row>
    <row r="44" spans="1:7" x14ac:dyDescent="0.25">
      <c r="A44" s="3"/>
      <c r="B44" s="1"/>
      <c r="C44" s="1"/>
      <c r="D44" s="1"/>
      <c r="E44" s="1"/>
      <c r="F44" s="1"/>
      <c r="G44" s="1"/>
    </row>
    <row r="45" spans="1:7" x14ac:dyDescent="0.25">
      <c r="A45" s="3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3"/>
      <c r="B123" s="1"/>
      <c r="C123" s="1"/>
      <c r="D123" s="1"/>
      <c r="E123" s="1"/>
      <c r="F123" s="1"/>
      <c r="G123" s="1"/>
    </row>
    <row r="124" spans="1:7" x14ac:dyDescent="0.25">
      <c r="A124" s="3"/>
      <c r="B124" s="1"/>
      <c r="C124" s="1"/>
      <c r="D124" s="1"/>
      <c r="E124" s="1"/>
      <c r="F124" s="1"/>
      <c r="G124" s="1"/>
    </row>
    <row r="125" spans="1:7" x14ac:dyDescent="0.25">
      <c r="A125" s="3"/>
      <c r="B125" s="1"/>
      <c r="C125" s="1"/>
      <c r="D125" s="1"/>
      <c r="E125" s="1"/>
      <c r="F125" s="1"/>
      <c r="G125" s="1"/>
    </row>
    <row r="126" spans="1:7" x14ac:dyDescent="0.25">
      <c r="A126" s="3"/>
      <c r="B126" s="1"/>
      <c r="C126" s="1"/>
      <c r="D126" s="1"/>
      <c r="E126" s="1"/>
      <c r="F126" s="1"/>
      <c r="G126" s="1"/>
    </row>
    <row r="127" spans="1:7" x14ac:dyDescent="0.25">
      <c r="A127" s="3"/>
      <c r="B127" s="1"/>
      <c r="C127" s="1"/>
      <c r="D127" s="1"/>
      <c r="E127" s="1"/>
      <c r="F127" s="1"/>
      <c r="G127" s="1"/>
    </row>
    <row r="128" spans="1:7" x14ac:dyDescent="0.25">
      <c r="A128" s="3"/>
      <c r="B128" s="1"/>
      <c r="C128" s="1"/>
      <c r="D128" s="1"/>
      <c r="E128" s="1"/>
      <c r="F128" s="1"/>
      <c r="G128" s="1"/>
    </row>
    <row r="129" spans="1:7" x14ac:dyDescent="0.25">
      <c r="A129" s="3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</sheetData>
  <mergeCells count="12">
    <mergeCell ref="A29:F29"/>
    <mergeCell ref="A20:G20"/>
    <mergeCell ref="A21:G21"/>
    <mergeCell ref="A1:G1"/>
    <mergeCell ref="A10:E10"/>
    <mergeCell ref="A11:E11"/>
    <mergeCell ref="A23:F23"/>
    <mergeCell ref="A24:F24"/>
    <mergeCell ref="A25:F25"/>
    <mergeCell ref="A26:F26"/>
    <mergeCell ref="A27:F27"/>
    <mergeCell ref="A28:F28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2</xdr:col>
                <xdr:colOff>466725</xdr:colOff>
                <xdr:row>140</xdr:row>
                <xdr:rowOff>161925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C7" sqref="C7"/>
    </sheetView>
  </sheetViews>
  <sheetFormatPr defaultRowHeight="15" x14ac:dyDescent="0.25"/>
  <cols>
    <col min="1" max="1" width="5.85546875" bestFit="1" customWidth="1"/>
    <col min="2" max="2" width="16.28515625" bestFit="1" customWidth="1"/>
    <col min="3" max="3" width="14.7109375" bestFit="1" customWidth="1"/>
    <col min="4" max="4" width="16" bestFit="1" customWidth="1"/>
    <col min="5" max="5" width="12.7109375" bestFit="1" customWidth="1"/>
    <col min="6" max="6" width="5.5703125" bestFit="1" customWidth="1"/>
    <col min="7" max="7" width="7.140625" bestFit="1" customWidth="1"/>
    <col min="8" max="8" width="5.85546875" bestFit="1" customWidth="1"/>
    <col min="9" max="9" width="4.28515625" bestFit="1" customWidth="1"/>
    <col min="10" max="10" width="7" bestFit="1" customWidth="1"/>
    <col min="11" max="11" width="5.7109375" bestFit="1" customWidth="1"/>
  </cols>
  <sheetData>
    <row r="1" spans="1:11" ht="18.75" x14ac:dyDescent="0.3">
      <c r="A1" s="14" t="s">
        <v>53</v>
      </c>
      <c r="B1" s="14"/>
      <c r="C1" s="14"/>
      <c r="D1" s="14"/>
      <c r="E1" s="14"/>
      <c r="F1" s="14" t="s">
        <v>47</v>
      </c>
      <c r="G1" s="14"/>
      <c r="H1" s="14"/>
      <c r="I1" s="14"/>
      <c r="J1" s="14"/>
      <c r="K1" s="14"/>
    </row>
    <row r="2" spans="1:11" ht="18.75" x14ac:dyDescent="0.3">
      <c r="A2" s="8" t="s">
        <v>41</v>
      </c>
      <c r="B2" s="8" t="s">
        <v>42</v>
      </c>
      <c r="C2" s="8" t="s">
        <v>44</v>
      </c>
      <c r="D2" s="8" t="s">
        <v>43</v>
      </c>
      <c r="E2" s="8" t="s">
        <v>45</v>
      </c>
      <c r="F2" s="8" t="s">
        <v>46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</row>
    <row r="3" spans="1:11" x14ac:dyDescent="0.25">
      <c r="A3" s="16">
        <v>1</v>
      </c>
      <c r="B3" s="16" t="s">
        <v>56</v>
      </c>
      <c r="C3" s="16">
        <v>984562186</v>
      </c>
      <c r="D3" s="16" t="s">
        <v>57</v>
      </c>
      <c r="E3" s="16" t="s">
        <v>66</v>
      </c>
      <c r="F3" s="16"/>
      <c r="G3" s="16" t="s">
        <v>71</v>
      </c>
      <c r="H3" s="16" t="s">
        <v>71</v>
      </c>
      <c r="I3" s="16" t="s">
        <v>72</v>
      </c>
      <c r="J3" s="16" t="s">
        <v>71</v>
      </c>
      <c r="K3" s="16" t="s">
        <v>71</v>
      </c>
    </row>
    <row r="4" spans="1:11" x14ac:dyDescent="0.25">
      <c r="A4" s="16">
        <v>2</v>
      </c>
      <c r="B4" s="16" t="s">
        <v>62</v>
      </c>
      <c r="C4" s="16">
        <v>485962458</v>
      </c>
      <c r="D4" s="16" t="s">
        <v>58</v>
      </c>
      <c r="E4" s="16" t="s">
        <v>67</v>
      </c>
      <c r="F4" s="16"/>
      <c r="G4" s="16" t="s">
        <v>71</v>
      </c>
      <c r="H4" s="16" t="s">
        <v>71</v>
      </c>
      <c r="I4" s="16" t="s">
        <v>71</v>
      </c>
      <c r="J4" s="16" t="s">
        <v>71</v>
      </c>
      <c r="K4" s="16" t="s">
        <v>71</v>
      </c>
    </row>
    <row r="5" spans="1:11" x14ac:dyDescent="0.25">
      <c r="A5" s="16">
        <v>3</v>
      </c>
      <c r="B5" s="16" t="s">
        <v>63</v>
      </c>
      <c r="C5" s="16">
        <v>786541258</v>
      </c>
      <c r="D5" s="16" t="s">
        <v>59</v>
      </c>
      <c r="E5" s="16" t="s">
        <v>68</v>
      </c>
      <c r="F5" s="16"/>
      <c r="G5" s="16" t="s">
        <v>71</v>
      </c>
      <c r="H5" s="16" t="s">
        <v>72</v>
      </c>
      <c r="I5" s="16" t="s">
        <v>71</v>
      </c>
      <c r="J5" s="16" t="s">
        <v>71</v>
      </c>
      <c r="K5" s="16" t="s">
        <v>72</v>
      </c>
    </row>
    <row r="6" spans="1:11" x14ac:dyDescent="0.25">
      <c r="A6" s="16">
        <v>4</v>
      </c>
      <c r="B6" s="16" t="s">
        <v>64</v>
      </c>
      <c r="C6" s="16">
        <v>258965412</v>
      </c>
      <c r="D6" s="16" t="s">
        <v>60</v>
      </c>
      <c r="E6" s="16" t="s">
        <v>69</v>
      </c>
      <c r="F6" s="16"/>
      <c r="G6" s="16" t="s">
        <v>71</v>
      </c>
      <c r="H6" s="16" t="s">
        <v>71</v>
      </c>
      <c r="I6" s="16" t="s">
        <v>71</v>
      </c>
      <c r="J6" s="16" t="s">
        <v>71</v>
      </c>
      <c r="K6" s="16" t="s">
        <v>71</v>
      </c>
    </row>
    <row r="7" spans="1:11" x14ac:dyDescent="0.25">
      <c r="A7" s="16">
        <v>5</v>
      </c>
      <c r="B7" s="16" t="s">
        <v>65</v>
      </c>
      <c r="C7" s="16">
        <v>215978463</v>
      </c>
      <c r="D7" s="16" t="s">
        <v>61</v>
      </c>
      <c r="E7" s="16" t="s">
        <v>70</v>
      </c>
      <c r="F7" s="16"/>
      <c r="G7" s="16" t="s">
        <v>71</v>
      </c>
      <c r="H7" s="16" t="s">
        <v>71</v>
      </c>
      <c r="I7" s="16" t="s">
        <v>71</v>
      </c>
      <c r="J7" s="16" t="s">
        <v>71</v>
      </c>
      <c r="K7" s="16" t="s">
        <v>72</v>
      </c>
    </row>
  </sheetData>
  <mergeCells count="2">
    <mergeCell ref="F1:K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</vt:lpstr>
      <vt:lpstr>Recce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Pokhriyal</dc:creator>
  <cp:lastModifiedBy>Tanu Pokhriyal</cp:lastModifiedBy>
  <dcterms:created xsi:type="dcterms:W3CDTF">2026-03-24T06:49:17Z</dcterms:created>
  <dcterms:modified xsi:type="dcterms:W3CDTF">2026-04-04T04:59:15Z</dcterms:modified>
</cp:coreProperties>
</file>